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HLoop\3D\SimpleTests\shear\FEA\"/>
    </mc:Choice>
  </mc:AlternateContent>
  <xr:revisionPtr revIDLastSave="0" documentId="13_ncr:1_{37C489A1-E85C-4F9D-8256-FA8D276CBEF3}" xr6:coauthVersionLast="47" xr6:coauthVersionMax="47" xr10:uidLastSave="{00000000-0000-0000-0000-000000000000}"/>
  <bookViews>
    <workbookView xWindow="28680" yWindow="-120" windowWidth="29040" windowHeight="15720" xr2:uid="{5096F89E-84C0-43D0-9039-B49CE23478F8}"/>
  </bookViews>
  <sheets>
    <sheet name="xyToExcel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/>
  <c r="U3" i="1"/>
  <c r="V3" i="1"/>
  <c r="W3" i="1"/>
  <c r="X3" i="1"/>
  <c r="Y3" i="1"/>
  <c r="Z3" i="1"/>
  <c r="AA3" i="1"/>
  <c r="AB3" i="1"/>
  <c r="C8" i="2"/>
  <c r="C9" i="2"/>
  <c r="C10" i="2"/>
  <c r="C11" i="2"/>
  <c r="C12" i="2"/>
  <c r="C13" i="2"/>
  <c r="C14" i="2"/>
  <c r="C15" i="2"/>
  <c r="C16" i="2"/>
  <c r="C17" i="2"/>
  <c r="C7" i="2"/>
  <c r="G8" i="2"/>
  <c r="G9" i="2"/>
  <c r="G10" i="2"/>
  <c r="G11" i="2"/>
  <c r="G12" i="2"/>
  <c r="G13" i="2"/>
  <c r="G14" i="2"/>
  <c r="G15" i="2"/>
  <c r="G16" i="2"/>
  <c r="G17" i="2"/>
  <c r="G7" i="2"/>
  <c r="F8" i="2"/>
  <c r="F9" i="2"/>
  <c r="F10" i="2"/>
  <c r="F11" i="2"/>
  <c r="F12" i="2"/>
  <c r="F13" i="2"/>
  <c r="F14" i="2"/>
  <c r="F15" i="2"/>
  <c r="F16" i="2"/>
  <c r="F17" i="2"/>
  <c r="F7" i="2"/>
  <c r="E8" i="2"/>
  <c r="E9" i="2"/>
  <c r="E10" i="2"/>
  <c r="E11" i="2"/>
  <c r="E12" i="2"/>
  <c r="E13" i="2"/>
  <c r="E14" i="2"/>
  <c r="E15" i="2"/>
  <c r="E16" i="2"/>
  <c r="E17" i="2"/>
  <c r="E7" i="2"/>
  <c r="A8" i="2"/>
  <c r="A9" i="2"/>
  <c r="A10" i="2"/>
  <c r="A11" i="2"/>
  <c r="A12" i="2"/>
  <c r="A13" i="2"/>
  <c r="A14" i="2"/>
  <c r="A15" i="2"/>
  <c r="A16" i="2"/>
  <c r="A17" i="2"/>
  <c r="A7" i="2"/>
</calcChain>
</file>

<file path=xl/sharedStrings.xml><?xml version="1.0" encoding="utf-8"?>
<sst xmlns="http://schemas.openxmlformats.org/spreadsheetml/2006/main" count="27" uniqueCount="14">
  <si>
    <t>E11</t>
  </si>
  <si>
    <t>E12</t>
  </si>
  <si>
    <t>E22</t>
  </si>
  <si>
    <t>E33</t>
  </si>
  <si>
    <t>S11</t>
  </si>
  <si>
    <t>S12</t>
  </si>
  <si>
    <t>S22</t>
  </si>
  <si>
    <t>S33</t>
  </si>
  <si>
    <t>FEA</t>
  </si>
  <si>
    <t>ROM</t>
  </si>
  <si>
    <t>w</t>
  </si>
  <si>
    <t>L</t>
  </si>
  <si>
    <t>x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</si>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</sst>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xyToExcel!$C$2</c:f>
              <c:strCache>
                <c:ptCount val="1"/>
                <c:pt idx="0">
                  <c:v>E11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xyToExcel!$A$3:$A$8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xyToExcel!$C$3:$C$8</c:f>
              <c:numCache>
                <c:formatCode>General</c:formatCode>
                <c:ptCount val="6"/>
                <c:pt idx="0">
                  <c:v>4.6730026951991022E-4</c:v>
                </c:pt>
                <c:pt idx="1">
                  <c:v>6.8855122663080692E-4</c:v>
                </c:pt>
                <c:pt idx="2">
                  <c:v>9.1024889843538404E-4</c:v>
                </c:pt>
                <c:pt idx="3">
                  <c:v>9.1066199820488691E-4</c:v>
                </c:pt>
                <c:pt idx="4">
                  <c:v>1.1315071024000645E-3</c:v>
                </c:pt>
                <c:pt idx="5">
                  <c:v>1.3532699085772038E-3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E-4330-8AEC-4CE453D7BDE5}"/>
            </c:ext>
          </c:extLst>
        </c:ser>
        <c:ser>
          <c:idx val="0"/>
          <c:order val="1"/>
          <c:tx>
            <c:strRef>
              <c:f>xyToExcel!$B$2</c:f>
              <c:strCache>
                <c:ptCount val="1"/>
                <c:pt idx="0">
                  <c:v>E22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xyToExcel!$A$3:$A$8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xyToExcel!$B$3:$B$8</c:f>
              <c:numCache>
                <c:formatCode>General</c:formatCode>
                <c:ptCount val="6"/>
                <c:pt idx="0">
                  <c:v>-2.001462853513658E-4</c:v>
                </c:pt>
                <c:pt idx="1">
                  <c:v>-2.9534209170378745E-4</c:v>
                </c:pt>
                <c:pt idx="2">
                  <c:v>-3.9070111233741045E-4</c:v>
                </c:pt>
                <c:pt idx="3">
                  <c:v>-3.9087759796530008E-4</c:v>
                </c:pt>
                <c:pt idx="4">
                  <c:v>-4.8518428229726851E-4</c:v>
                </c:pt>
                <c:pt idx="5">
                  <c:v>-5.7984702289104462E-4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E-4330-8AEC-4CE453D7BDE5}"/>
            </c:ext>
          </c:extLst>
        </c:ser>
        <c:ser>
          <c:idx val="2"/>
          <c:order val="2"/>
          <c:tx>
            <c:strRef>
              <c:f>xyToExcel!$D$2</c:f>
              <c:strCache>
                <c:ptCount val="1"/>
                <c:pt idx="0">
                  <c:v>E33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xyToExcel!$A$3:$A$8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xyToExcel!$D$3:$D$8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E-4330-8AEC-4CE453D7BDE5}"/>
            </c:ext>
          </c:extLst>
        </c:ser>
        <c:ser>
          <c:idx val="3"/>
          <c:order val="3"/>
          <c:tx>
            <c:strRef>
              <c:f>xyToExcel!$E$2</c:f>
              <c:strCache>
                <c:ptCount val="1"/>
                <c:pt idx="0">
                  <c:v>E12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xyToExcel!$A$3:$A$8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xyToExcel!$E$3:$E$8</c:f>
              <c:numCache>
                <c:formatCode>General</c:formatCode>
                <c:ptCount val="6"/>
                <c:pt idx="0">
                  <c:v>2.1754112822236493E-5</c:v>
                </c:pt>
                <c:pt idx="1">
                  <c:v>3.5189423942938447E-4</c:v>
                </c:pt>
                <c:pt idx="2">
                  <c:v>4.6104678767733276E-4</c:v>
                </c:pt>
                <c:pt idx="3">
                  <c:v>4.6087059308774769E-4</c:v>
                </c:pt>
                <c:pt idx="4">
                  <c:v>3.5045624827034771E-4</c:v>
                </c:pt>
                <c:pt idx="5">
                  <c:v>2.1786283468827605E-5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1E-4330-8AEC-4CE453D7BDE5}"/>
            </c:ext>
          </c:extLst>
        </c:ser>
        <c:ser>
          <c:idx val="4"/>
          <c:order val="4"/>
          <c:tx>
            <c:v>E11 ROM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xyToExcel!$B$14:$K$14</c:f>
              <c:numCache>
                <c:formatCode>General</c:formatCode>
                <c:ptCount val="10"/>
                <c:pt idx="0">
                  <c:v>0.05</c:v>
                </c:pt>
                <c:pt idx="1">
                  <c:v>0.14999999999999997</c:v>
                </c:pt>
                <c:pt idx="2">
                  <c:v>0.24999999999999994</c:v>
                </c:pt>
                <c:pt idx="3">
                  <c:v>0.34999999999999992</c:v>
                </c:pt>
                <c:pt idx="4">
                  <c:v>0.44999999999999996</c:v>
                </c:pt>
                <c:pt idx="5">
                  <c:v>0.54999999999999993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xVal>
          <c:yVal>
            <c:numRef>
              <c:f>xyToExcel!$B$15:$K$15</c:f>
              <c:numCache>
                <c:formatCode>General</c:formatCode>
                <c:ptCount val="10"/>
                <c:pt idx="0">
                  <c:v>5.1599700000000003E-4</c:v>
                </c:pt>
                <c:pt idx="1">
                  <c:v>6.0355399999999996E-4</c:v>
                </c:pt>
                <c:pt idx="2">
                  <c:v>6.9110999999999999E-4</c:v>
                </c:pt>
                <c:pt idx="3">
                  <c:v>7.7866600000000002E-4</c:v>
                </c:pt>
                <c:pt idx="4">
                  <c:v>8.6622200000000004E-4</c:v>
                </c:pt>
                <c:pt idx="5">
                  <c:v>9.5377799999999996E-4</c:v>
                </c:pt>
                <c:pt idx="6">
                  <c:v>1.04133E-3</c:v>
                </c:pt>
                <c:pt idx="7">
                  <c:v>1.12889E-3</c:v>
                </c:pt>
                <c:pt idx="8">
                  <c:v>1.21645E-3</c:v>
                </c:pt>
                <c:pt idx="9">
                  <c:v>1.304E-3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1A-4B48-830B-36F437029541}"/>
            </c:ext>
          </c:extLst>
        </c:ser>
        <c:ser>
          <c:idx val="5"/>
          <c:order val="5"/>
          <c:tx>
            <c:v>E22 ROM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xyToExcel!$B$14:$K$14</c:f>
              <c:numCache>
                <c:formatCode>General</c:formatCode>
                <c:ptCount val="10"/>
                <c:pt idx="0">
                  <c:v>0.05</c:v>
                </c:pt>
                <c:pt idx="1">
                  <c:v>0.14999999999999997</c:v>
                </c:pt>
                <c:pt idx="2">
                  <c:v>0.24999999999999994</c:v>
                </c:pt>
                <c:pt idx="3">
                  <c:v>0.34999999999999992</c:v>
                </c:pt>
                <c:pt idx="4">
                  <c:v>0.44999999999999996</c:v>
                </c:pt>
                <c:pt idx="5">
                  <c:v>0.54999999999999993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xVal>
          <c:yVal>
            <c:numRef>
              <c:f>xyToExcel!$B$16:$K$16</c:f>
              <c:numCache>
                <c:formatCode>General</c:formatCode>
                <c:ptCount val="10"/>
                <c:pt idx="0">
                  <c:v>-2.2114199999999999E-4</c:v>
                </c:pt>
                <c:pt idx="1">
                  <c:v>-2.5866600000000001E-4</c:v>
                </c:pt>
                <c:pt idx="2">
                  <c:v>-2.9618999999999999E-4</c:v>
                </c:pt>
                <c:pt idx="3">
                  <c:v>-3.3371399999999998E-4</c:v>
                </c:pt>
                <c:pt idx="4">
                  <c:v>-3.7123800000000003E-4</c:v>
                </c:pt>
                <c:pt idx="5">
                  <c:v>-4.0876200000000001E-4</c:v>
                </c:pt>
                <c:pt idx="6">
                  <c:v>-4.46286E-4</c:v>
                </c:pt>
                <c:pt idx="7">
                  <c:v>-4.8380999999999999E-4</c:v>
                </c:pt>
                <c:pt idx="8">
                  <c:v>-5.2133400000000003E-4</c:v>
                </c:pt>
                <c:pt idx="9">
                  <c:v>-5.5885799999999997E-4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1A-4B48-830B-36F437029541}"/>
            </c:ext>
          </c:extLst>
        </c:ser>
        <c:ser>
          <c:idx val="6"/>
          <c:order val="6"/>
          <c:tx>
            <c:v>E12 ROM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xyToExcel!$B$14:$K$14</c:f>
              <c:numCache>
                <c:formatCode>General</c:formatCode>
                <c:ptCount val="10"/>
                <c:pt idx="0">
                  <c:v>0.05</c:v>
                </c:pt>
                <c:pt idx="1">
                  <c:v>0.14999999999999997</c:v>
                </c:pt>
                <c:pt idx="2">
                  <c:v>0.24999999999999994</c:v>
                </c:pt>
                <c:pt idx="3">
                  <c:v>0.34999999999999992</c:v>
                </c:pt>
                <c:pt idx="4">
                  <c:v>0.44999999999999996</c:v>
                </c:pt>
                <c:pt idx="5">
                  <c:v>0.54999999999999993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xVal>
          <c:yVal>
            <c:numRef>
              <c:f>xyToExcel!$B$18:$K$18</c:f>
              <c:numCache>
                <c:formatCode>General</c:formatCode>
                <c:ptCount val="10"/>
                <c:pt idx="0">
                  <c:v>2.1013499999999999E-4</c:v>
                </c:pt>
                <c:pt idx="1">
                  <c:v>3.7357299999999998E-4</c:v>
                </c:pt>
                <c:pt idx="2">
                  <c:v>4.9031400000000005E-4</c:v>
                </c:pt>
                <c:pt idx="3">
                  <c:v>5.6035899999999997E-4</c:v>
                </c:pt>
                <c:pt idx="4">
                  <c:v>5.8370799999999995E-4</c:v>
                </c:pt>
                <c:pt idx="5">
                  <c:v>5.8370799999999995E-4</c:v>
                </c:pt>
                <c:pt idx="6">
                  <c:v>5.6035899999999997E-4</c:v>
                </c:pt>
                <c:pt idx="7">
                  <c:v>4.9031400000000005E-4</c:v>
                </c:pt>
                <c:pt idx="8">
                  <c:v>3.7357299999999998E-4</c:v>
                </c:pt>
                <c:pt idx="9">
                  <c:v>2.1013499999999999E-4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1A-4B48-830B-36F437029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221760"/>
        <c:axId val="703696320"/>
      </c:scatterChart>
      <c:valAx>
        <c:axId val="70722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 along path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96320"/>
        <c:crosses val="autoZero"/>
        <c:crossBetween val="midCat"/>
      </c:valAx>
      <c:valAx>
        <c:axId val="70369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21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EDF 2020" panose="020B0503020203020204" pitchFamily="34" charset="0"/>
              <a:ea typeface="+mn-ea"/>
              <a:cs typeface="EDF 2020" panose="020B0503020203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330545349176902E-2"/>
          <c:y val="0.11311307571913828"/>
          <c:w val="0.57616237919593016"/>
          <c:h val="0.73720946823027655"/>
        </c:manualLayout>
      </c:layout>
      <c:scatterChart>
        <c:scatterStyle val="lineMarker"/>
        <c:varyColors val="0"/>
        <c:ser>
          <c:idx val="1"/>
          <c:order val="0"/>
          <c:tx>
            <c:strRef>
              <c:f>xyToExcel!$I$2</c:f>
              <c:strCache>
                <c:ptCount val="1"/>
                <c:pt idx="0">
                  <c:v>S11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xyToExcel!$G$3:$G$8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xyToExcel!$I$3:$I$8</c:f>
              <c:numCache>
                <c:formatCode>General</c:formatCode>
                <c:ptCount val="6"/>
                <c:pt idx="0">
                  <c:v>102.71781921386719</c:v>
                </c:pt>
                <c:pt idx="1">
                  <c:v>151.30125427246094</c:v>
                </c:pt>
                <c:pt idx="2">
                  <c:v>199.986083984375</c:v>
                </c:pt>
                <c:pt idx="3">
                  <c:v>200.07693481445313</c:v>
                </c:pt>
                <c:pt idx="4">
                  <c:v>248.65371704101563</c:v>
                </c:pt>
                <c:pt idx="5">
                  <c:v>297.4364013671875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0C-42B9-BB96-0B7EB2D410BE}"/>
            </c:ext>
          </c:extLst>
        </c:ser>
        <c:ser>
          <c:idx val="0"/>
          <c:order val="1"/>
          <c:tx>
            <c:strRef>
              <c:f>xyToExcel!$H$2</c:f>
              <c:strCache>
                <c:ptCount val="1"/>
                <c:pt idx="0">
                  <c:v>S22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xyToExcel!$G$3:$G$8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xyToExcel!$H$3:$H$8</c:f>
              <c:numCache>
                <c:formatCode>General</c:formatCode>
                <c:ptCount val="6"/>
                <c:pt idx="0">
                  <c:v>3.3730302006006241E-2</c:v>
                </c:pt>
                <c:pt idx="1">
                  <c:v>-6.6964298486709595E-2</c:v>
                </c:pt>
                <c:pt idx="2">
                  <c:v>-0.1600617915391922</c:v>
                </c:pt>
                <c:pt idx="3">
                  <c:v>-0.15990568697452545</c:v>
                </c:pt>
                <c:pt idx="4">
                  <c:v>-6.8038001656532288E-2</c:v>
                </c:pt>
                <c:pt idx="5">
                  <c:v>3.3832348883152008E-2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C-42B9-BB96-0B7EB2D410BE}"/>
            </c:ext>
          </c:extLst>
        </c:ser>
        <c:ser>
          <c:idx val="2"/>
          <c:order val="2"/>
          <c:tx>
            <c:strRef>
              <c:f>xyToExcel!$J$2</c:f>
              <c:strCache>
                <c:ptCount val="1"/>
                <c:pt idx="0">
                  <c:v>S33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xyToExcel!$G$3:$G$8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xyToExcel!$J$3:$J$8</c:f>
              <c:numCache>
                <c:formatCode>General</c:formatCode>
                <c:ptCount val="6"/>
                <c:pt idx="0">
                  <c:v>30.825462341308594</c:v>
                </c:pt>
                <c:pt idx="1">
                  <c:v>45.370285034179688</c:v>
                </c:pt>
                <c:pt idx="2">
                  <c:v>59.947807312011719</c:v>
                </c:pt>
                <c:pt idx="3">
                  <c:v>59.975112915039063</c:v>
                </c:pt>
                <c:pt idx="4">
                  <c:v>74.575714111328125</c:v>
                </c:pt>
                <c:pt idx="5">
                  <c:v>89.241058349609375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0C-42B9-BB96-0B7EB2D410BE}"/>
            </c:ext>
          </c:extLst>
        </c:ser>
        <c:ser>
          <c:idx val="3"/>
          <c:order val="3"/>
          <c:tx>
            <c:strRef>
              <c:f>xyToExcel!$K$2</c:f>
              <c:strCache>
                <c:ptCount val="1"/>
                <c:pt idx="0">
                  <c:v>S12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xyToExcel!$G$3:$G$8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xyToExcel!$K$3:$K$8</c:f>
              <c:numCache>
                <c:formatCode>General</c:formatCode>
                <c:ptCount val="6"/>
                <c:pt idx="0">
                  <c:v>1.6733920574188232</c:v>
                </c:pt>
                <c:pt idx="1">
                  <c:v>27.068782806396484</c:v>
                </c:pt>
                <c:pt idx="2">
                  <c:v>35.465133666992188</c:v>
                </c:pt>
                <c:pt idx="3">
                  <c:v>35.451583862304688</c:v>
                </c:pt>
                <c:pt idx="4">
                  <c:v>26.958169937133789</c:v>
                </c:pt>
                <c:pt idx="5">
                  <c:v>1.6758679151535034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0C-42B9-BB96-0B7EB2D410BE}"/>
            </c:ext>
          </c:extLst>
        </c:ser>
        <c:ser>
          <c:idx val="4"/>
          <c:order val="4"/>
          <c:tx>
            <c:v>S11 ROM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xyToExcel!$S$3:$AB$3</c:f>
              <c:numCache>
                <c:formatCode>General</c:formatCode>
                <c:ptCount val="10"/>
                <c:pt idx="0">
                  <c:v>0.05</c:v>
                </c:pt>
                <c:pt idx="1">
                  <c:v>0.14999999999999997</c:v>
                </c:pt>
                <c:pt idx="2">
                  <c:v>0.24999999999999994</c:v>
                </c:pt>
                <c:pt idx="3">
                  <c:v>0.34999999999999992</c:v>
                </c:pt>
                <c:pt idx="4">
                  <c:v>0.44999999999999996</c:v>
                </c:pt>
                <c:pt idx="5">
                  <c:v>0.54999999999999993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xVal>
          <c:yVal>
            <c:numRef>
              <c:f>xyToExcel!$S$4:$AB$4</c:f>
              <c:numCache>
                <c:formatCode>General</c:formatCode>
                <c:ptCount val="10"/>
                <c:pt idx="0">
                  <c:v>113.40600000000001</c:v>
                </c:pt>
                <c:pt idx="1">
                  <c:v>132.649</c:v>
                </c:pt>
                <c:pt idx="2">
                  <c:v>151.892</c:v>
                </c:pt>
                <c:pt idx="3">
                  <c:v>171.13499999999999</c:v>
                </c:pt>
                <c:pt idx="4">
                  <c:v>190.37799999999999</c:v>
                </c:pt>
                <c:pt idx="5">
                  <c:v>209.62200000000001</c:v>
                </c:pt>
                <c:pt idx="6">
                  <c:v>228.86500000000001</c:v>
                </c:pt>
                <c:pt idx="7">
                  <c:v>248.108</c:v>
                </c:pt>
                <c:pt idx="8">
                  <c:v>267.351</c:v>
                </c:pt>
                <c:pt idx="9">
                  <c:v>286.59399999999999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55-4A84-A29C-82EDD3DEAA59}"/>
            </c:ext>
          </c:extLst>
        </c:ser>
        <c:ser>
          <c:idx val="5"/>
          <c:order val="5"/>
          <c:tx>
            <c:v>S33 ROM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xyToExcel!$S$3:$AB$3</c:f>
              <c:numCache>
                <c:formatCode>General</c:formatCode>
                <c:ptCount val="10"/>
                <c:pt idx="0">
                  <c:v>0.05</c:v>
                </c:pt>
                <c:pt idx="1">
                  <c:v>0.14999999999999997</c:v>
                </c:pt>
                <c:pt idx="2">
                  <c:v>0.24999999999999994</c:v>
                </c:pt>
                <c:pt idx="3">
                  <c:v>0.34999999999999992</c:v>
                </c:pt>
                <c:pt idx="4">
                  <c:v>0.44999999999999996</c:v>
                </c:pt>
                <c:pt idx="5">
                  <c:v>0.54999999999999993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xVal>
          <c:yVal>
            <c:numRef>
              <c:f>xyToExcel!$S$6:$AB$6</c:f>
              <c:numCache>
                <c:formatCode>General</c:formatCode>
                <c:ptCount val="10"/>
                <c:pt idx="0">
                  <c:v>34.021799999999999</c:v>
                </c:pt>
                <c:pt idx="1">
                  <c:v>39.794699999999999</c:v>
                </c:pt>
                <c:pt idx="2">
                  <c:v>45.567700000000002</c:v>
                </c:pt>
                <c:pt idx="3">
                  <c:v>51.340600000000002</c:v>
                </c:pt>
                <c:pt idx="4">
                  <c:v>57.113500000000002</c:v>
                </c:pt>
                <c:pt idx="5">
                  <c:v>62.886499999999998</c:v>
                </c:pt>
                <c:pt idx="6">
                  <c:v>68.659400000000005</c:v>
                </c:pt>
                <c:pt idx="7">
                  <c:v>74.432299999999998</c:v>
                </c:pt>
                <c:pt idx="8">
                  <c:v>80.205299999999994</c:v>
                </c:pt>
                <c:pt idx="9">
                  <c:v>85.978200000000001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55-4A84-A29C-82EDD3DEAA59}"/>
            </c:ext>
          </c:extLst>
        </c:ser>
        <c:ser>
          <c:idx val="6"/>
          <c:order val="6"/>
          <c:tx>
            <c:v>S12 ROM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xyToExcel!$S$3:$AB$3</c:f>
              <c:numCache>
                <c:formatCode>General</c:formatCode>
                <c:ptCount val="10"/>
                <c:pt idx="0">
                  <c:v>0.05</c:v>
                </c:pt>
                <c:pt idx="1">
                  <c:v>0.14999999999999997</c:v>
                </c:pt>
                <c:pt idx="2">
                  <c:v>0.24999999999999994</c:v>
                </c:pt>
                <c:pt idx="3">
                  <c:v>0.34999999999999992</c:v>
                </c:pt>
                <c:pt idx="4">
                  <c:v>0.44999999999999996</c:v>
                </c:pt>
                <c:pt idx="5">
                  <c:v>0.54999999999999993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xVal>
          <c:yVal>
            <c:numRef>
              <c:f>xyToExcel!$S$7:$AB$7</c:f>
              <c:numCache>
                <c:formatCode>General</c:formatCode>
                <c:ptCount val="10"/>
                <c:pt idx="0">
                  <c:v>16.164200000000001</c:v>
                </c:pt>
                <c:pt idx="1">
                  <c:v>28.7364</c:v>
                </c:pt>
                <c:pt idx="2">
                  <c:v>37.716500000000003</c:v>
                </c:pt>
                <c:pt idx="3">
                  <c:v>43.104599999999998</c:v>
                </c:pt>
                <c:pt idx="4">
                  <c:v>44.900599999999997</c:v>
                </c:pt>
                <c:pt idx="5">
                  <c:v>44.900599999999997</c:v>
                </c:pt>
                <c:pt idx="6">
                  <c:v>43.104599999999998</c:v>
                </c:pt>
                <c:pt idx="7">
                  <c:v>37.716500000000003</c:v>
                </c:pt>
                <c:pt idx="8">
                  <c:v>28.7364</c:v>
                </c:pt>
                <c:pt idx="9">
                  <c:v>16.164200000000001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55-4A84-A29C-82EDD3DE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027056"/>
        <c:axId val="743023696"/>
      </c:scatterChart>
      <c:valAx>
        <c:axId val="7430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EDF 2020" panose="020B0503020203020204" pitchFamily="34" charset="0"/>
                    <a:ea typeface="+mn-ea"/>
                    <a:cs typeface="EDF 2020" panose="020B0503020203020204" pitchFamily="34" charset="0"/>
                  </a:defRPr>
                </a:pPr>
                <a:r>
                  <a:rPr lang="en-GB"/>
                  <a:t>Distance along path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EDF 2020" panose="020B0503020203020204" pitchFamily="34" charset="0"/>
                  <a:ea typeface="+mn-ea"/>
                  <a:cs typeface="EDF 2020" panose="020B0503020203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EDF 2020" panose="020B0503020203020204" pitchFamily="34" charset="0"/>
                <a:ea typeface="+mn-ea"/>
                <a:cs typeface="EDF 2020" panose="020B0503020203020204" pitchFamily="34" charset="0"/>
              </a:defRPr>
            </a:pPr>
            <a:endParaRPr lang="en-US"/>
          </a:p>
        </c:txPr>
        <c:crossAx val="743023696"/>
        <c:crosses val="autoZero"/>
        <c:crossBetween val="midCat"/>
      </c:valAx>
      <c:valAx>
        <c:axId val="7430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EDF 2020" panose="020B0503020203020204" pitchFamily="34" charset="0"/>
                    <a:ea typeface="+mn-ea"/>
                    <a:cs typeface="EDF 2020" panose="020B0503020203020204" pitchFamily="34" charset="0"/>
                  </a:defRPr>
                </a:pPr>
                <a:r>
                  <a:rPr lang="en-GB"/>
                  <a:t>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EDF 2020" panose="020B0503020203020204" pitchFamily="34" charset="0"/>
                  <a:ea typeface="+mn-ea"/>
                  <a:cs typeface="EDF 2020" panose="020B0503020203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EDF 2020" panose="020B0503020203020204" pitchFamily="34" charset="0"/>
                <a:ea typeface="+mn-ea"/>
                <a:cs typeface="EDF 2020" panose="020B0503020203020204" pitchFamily="34" charset="0"/>
              </a:defRPr>
            </a:pPr>
            <a:endParaRPr lang="en-US"/>
          </a:p>
        </c:txPr>
        <c:crossAx val="74302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494075880037923"/>
          <c:y val="0.22625001144798443"/>
          <c:w val="0.17110149323212198"/>
          <c:h val="0.57785689874824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EDF 2020" panose="020B0503020203020204" pitchFamily="34" charset="0"/>
              <a:ea typeface="+mn-ea"/>
              <a:cs typeface="EDF 2020" panose="020B0503020203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EDF 2020" panose="020B0503020203020204" pitchFamily="34" charset="0"/>
          <a:cs typeface="EDF 2020" panose="020B0503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Sheet1!$B$7:$B$17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Sheet1!$C$7:$C$17</c:f>
              <c:numCache>
                <c:formatCode>General</c:formatCode>
                <c:ptCount val="11"/>
                <c:pt idx="0">
                  <c:v>-0.19500000000000001</c:v>
                </c:pt>
                <c:pt idx="1">
                  <c:v>-0.11999999999999998</c:v>
                </c:pt>
                <c:pt idx="2">
                  <c:v>-5.4999999999999993E-2</c:v>
                </c:pt>
                <c:pt idx="3">
                  <c:v>0</c:v>
                </c:pt>
                <c:pt idx="4">
                  <c:v>4.5000000000000012E-2</c:v>
                </c:pt>
                <c:pt idx="5">
                  <c:v>8.0000000000000016E-2</c:v>
                </c:pt>
                <c:pt idx="6">
                  <c:v>0.105</c:v>
                </c:pt>
                <c:pt idx="7">
                  <c:v>0.12000000000000001</c:v>
                </c:pt>
                <c:pt idx="8">
                  <c:v>0.125</c:v>
                </c:pt>
                <c:pt idx="9">
                  <c:v>0.12</c:v>
                </c:pt>
                <c:pt idx="10">
                  <c:v>0.10500000000000001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8C-428C-B95A-286137F56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62608"/>
        <c:axId val="548263568"/>
      </c:scatterChart>
      <c:valAx>
        <c:axId val="548262608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63568"/>
        <c:crosses val="autoZero"/>
        <c:crossBetween val="midCat"/>
      </c:valAx>
      <c:valAx>
        <c:axId val="548263568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6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xyToExcel!$E$2</c:f>
              <c:strCache>
                <c:ptCount val="1"/>
                <c:pt idx="0">
                  <c:v>E12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xyToExcel!$A$3:$A$8</c:f>
              <c:numCache>
                <c:formatCode>General</c:formatCode>
                <c:ptCount val="6"/>
                <c:pt idx="0">
                  <c:v>0</c:v>
                </c:pt>
                <c:pt idx="1">
                  <c:v>0.24993808567523956</c:v>
                </c:pt>
                <c:pt idx="2">
                  <c:v>0.49985229969024658</c:v>
                </c:pt>
                <c:pt idx="3">
                  <c:v>0.50031822919845581</c:v>
                </c:pt>
                <c:pt idx="4">
                  <c:v>0.74974292516708374</c:v>
                </c:pt>
                <c:pt idx="5">
                  <c:v>0.99960976839065552</c:v>
                </c:pt>
              </c:numCache>
            </c:numRef>
          </c:xVal>
          <c:yVal>
            <c:numRef>
              <c:f>xyToExcel!$E$3:$E$8</c:f>
              <c:numCache>
                <c:formatCode>General</c:formatCode>
                <c:ptCount val="6"/>
                <c:pt idx="0">
                  <c:v>2.1754112822236493E-5</c:v>
                </c:pt>
                <c:pt idx="1">
                  <c:v>3.5189423942938447E-4</c:v>
                </c:pt>
                <c:pt idx="2">
                  <c:v>4.6104678767733276E-4</c:v>
                </c:pt>
                <c:pt idx="3">
                  <c:v>4.6087059308774769E-4</c:v>
                </c:pt>
                <c:pt idx="4">
                  <c:v>3.5045624827034771E-4</c:v>
                </c:pt>
                <c:pt idx="5">
                  <c:v>2.1786283468827605E-5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EC-4E7F-AFA1-45E31E5FFE5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Sheet1!$B$7:$B$17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Sheet1!$C$7:$C$17</c:f>
              <c:numCache>
                <c:formatCode>General</c:formatCode>
                <c:ptCount val="11"/>
                <c:pt idx="0">
                  <c:v>-0.19500000000000001</c:v>
                </c:pt>
                <c:pt idx="1">
                  <c:v>-0.11999999999999998</c:v>
                </c:pt>
                <c:pt idx="2">
                  <c:v>-5.4999999999999993E-2</c:v>
                </c:pt>
                <c:pt idx="3">
                  <c:v>0</c:v>
                </c:pt>
                <c:pt idx="4">
                  <c:v>4.5000000000000012E-2</c:v>
                </c:pt>
                <c:pt idx="5">
                  <c:v>8.0000000000000016E-2</c:v>
                </c:pt>
                <c:pt idx="6">
                  <c:v>0.105</c:v>
                </c:pt>
                <c:pt idx="7">
                  <c:v>0.12000000000000001</c:v>
                </c:pt>
                <c:pt idx="8">
                  <c:v>0.125</c:v>
                </c:pt>
                <c:pt idx="9">
                  <c:v>0.12</c:v>
                </c:pt>
                <c:pt idx="10">
                  <c:v>0.10500000000000001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EC-4E7F-AFA1-45E31E5FF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221760"/>
        <c:axId val="70369632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xyToExcel!$C$2</c15:sqref>
                        </c15:formulaRef>
                      </c:ext>
                    </c:extLst>
                    <c:strCache>
                      <c:ptCount val="1"/>
                      <c:pt idx="0">
                        <c:v>E11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xyToExcel!$A$3:$A$8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0.24993808567523956</c:v>
                      </c:pt>
                      <c:pt idx="2">
                        <c:v>0.49985229969024658</c:v>
                      </c:pt>
                      <c:pt idx="3">
                        <c:v>0.50031822919845581</c:v>
                      </c:pt>
                      <c:pt idx="4">
                        <c:v>0.74974292516708374</c:v>
                      </c:pt>
                      <c:pt idx="5">
                        <c:v>0.99960976839065552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xyToExcel!$C$3:$C$8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4.6730026951991022E-4</c:v>
                      </c:pt>
                      <c:pt idx="1">
                        <c:v>6.8855122663080692E-4</c:v>
                      </c:pt>
                      <c:pt idx="2">
                        <c:v>9.1024889843538404E-4</c:v>
                      </c:pt>
                      <c:pt idx="3">
                        <c:v>9.1066199820488691E-4</c:v>
                      </c:pt>
                      <c:pt idx="4">
                        <c:v>1.1315071024000645E-3</c:v>
                      </c:pt>
                      <c:pt idx="5">
                        <c:v>1.3532699085772038E-3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5EC-4E7F-AFA1-45E31E5FFE57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xyToExcel!$B$2</c15:sqref>
                        </c15:formulaRef>
                      </c:ext>
                    </c:extLst>
                    <c:strCache>
                      <c:ptCount val="1"/>
                      <c:pt idx="0">
                        <c:v>E22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0.24993808567523956</c:v>
                      </c:pt>
                      <c:pt idx="2">
                        <c:v>0.49985229969024658</c:v>
                      </c:pt>
                      <c:pt idx="3">
                        <c:v>0.50031822919845581</c:v>
                      </c:pt>
                      <c:pt idx="4">
                        <c:v>0.74974292516708374</c:v>
                      </c:pt>
                      <c:pt idx="5">
                        <c:v>0.99960976839065552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xyToExcel!$B$3:$B$8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-2.001462853513658E-4</c:v>
                      </c:pt>
                      <c:pt idx="1">
                        <c:v>-2.9534209170378745E-4</c:v>
                      </c:pt>
                      <c:pt idx="2">
                        <c:v>-3.9070111233741045E-4</c:v>
                      </c:pt>
                      <c:pt idx="3">
                        <c:v>-3.9087759796530008E-4</c:v>
                      </c:pt>
                      <c:pt idx="4">
                        <c:v>-4.8518428229726851E-4</c:v>
                      </c:pt>
                      <c:pt idx="5">
                        <c:v>-5.7984702289104462E-4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5EC-4E7F-AFA1-45E31E5FFE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xyToExcel!$D$2</c15:sqref>
                        </c15:formulaRef>
                      </c:ext>
                    </c:extLst>
                    <c:strCache>
                      <c:ptCount val="1"/>
                      <c:pt idx="0">
                        <c:v>E33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0.24993808567523956</c:v>
                      </c:pt>
                      <c:pt idx="2">
                        <c:v>0.49985229969024658</c:v>
                      </c:pt>
                      <c:pt idx="3">
                        <c:v>0.50031822919845581</c:v>
                      </c:pt>
                      <c:pt idx="4">
                        <c:v>0.74974292516708374</c:v>
                      </c:pt>
                      <c:pt idx="5">
                        <c:v>0.99960976839065552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xyToExcel!$D$3:$D$8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5EC-4E7F-AFA1-45E31E5FFE57}"/>
                  </c:ext>
                </c:extLst>
              </c15:ser>
            </c15:filteredScatterSeries>
          </c:ext>
        </c:extLst>
      </c:scatterChart>
      <c:valAx>
        <c:axId val="70722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 along path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96320"/>
        <c:crosses val="autoZero"/>
        <c:crossBetween val="midCat"/>
      </c:valAx>
      <c:valAx>
        <c:axId val="70369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21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51547</xdr:colOff>
      <xdr:row>17</xdr:row>
      <xdr:rowOff>179574</xdr:rowOff>
    </xdr:from>
    <xdr:to>
      <xdr:col>14</xdr:col>
      <xdr:colOff>485215</xdr:colOff>
      <xdr:row>38</xdr:row>
      <xdr:rowOff>79562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F3D62F-23F0-236B-7E1F-72C68769B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579009</xdr:colOff>
      <xdr:row>9</xdr:row>
      <xdr:rowOff>32497</xdr:rowOff>
    </xdr:from>
    <xdr:to>
      <xdr:col>29</xdr:col>
      <xdr:colOff>54125</xdr:colOff>
      <xdr:row>32</xdr:row>
      <xdr:rowOff>57934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065654-D6FB-D1F1-EEF6-1C9FB587C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18</xdr:row>
      <xdr:rowOff>123825</xdr:rowOff>
    </xdr:from>
    <xdr:to>
      <xdr:col>11</xdr:col>
      <xdr:colOff>342900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34FE7-3A92-FDB1-5DD7-DB9F91119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10</xdr:row>
      <xdr:rowOff>0</xdr:rowOff>
    </xdr:from>
    <xdr:to>
      <xdr:col>23</xdr:col>
      <xdr:colOff>476250</xdr:colOff>
      <xdr:row>30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A01F2-FB0D-4EBA-B621-D721E7545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C874-CC36-41A0-9637-2B6FD04CDDC4}">
  <dimension ref="A1:AB18"/>
  <sheetViews>
    <sheetView tabSelected="1" zoomScale="85" zoomScaleNormal="85" workbookViewId="0">
      <selection activeCell="F25" sqref="F25"/>
    </sheetView>
  </sheetViews>
  <sheetFormatPr defaultRowHeight="15" x14ac:dyDescent="0.25"/>
  <sheetData>
    <row r="1" spans="1:28" x14ac:dyDescent="0.25">
      <c r="A1" s="1"/>
      <c r="B1" s="1" t="s">
        <v>0</v>
      </c>
      <c r="C1" s="1" t="s">
        <v>2</v>
      </c>
      <c r="D1" s="1" t="s">
        <v>3</v>
      </c>
      <c r="E1" s="1" t="s">
        <v>1</v>
      </c>
      <c r="F1" s="1"/>
      <c r="G1" s="1"/>
      <c r="H1" s="1" t="s">
        <v>4</v>
      </c>
      <c r="I1" s="1" t="s">
        <v>6</v>
      </c>
      <c r="J1" s="1" t="s">
        <v>7</v>
      </c>
      <c r="K1" s="1" t="s">
        <v>5</v>
      </c>
      <c r="L1" s="1" t="s">
        <v>8</v>
      </c>
    </row>
    <row r="2" spans="1:28" x14ac:dyDescent="0.25">
      <c r="A2" s="1"/>
      <c r="B2" s="1" t="s">
        <v>2</v>
      </c>
      <c r="C2" s="1" t="s">
        <v>0</v>
      </c>
      <c r="D2" s="1" t="s">
        <v>3</v>
      </c>
      <c r="E2" s="1" t="s">
        <v>1</v>
      </c>
      <c r="F2" s="1"/>
      <c r="G2" s="1"/>
      <c r="H2" s="1" t="s">
        <v>6</v>
      </c>
      <c r="I2" s="1" t="s">
        <v>4</v>
      </c>
      <c r="J2" s="1" t="s">
        <v>7</v>
      </c>
      <c r="K2" s="1" t="s">
        <v>5</v>
      </c>
      <c r="L2" s="1" t="s">
        <v>9</v>
      </c>
      <c r="S2">
        <v>-0.7</v>
      </c>
      <c r="T2">
        <v>-0.6</v>
      </c>
      <c r="U2">
        <v>-0.5</v>
      </c>
      <c r="V2">
        <v>-0.4</v>
      </c>
      <c r="W2">
        <v>-0.3</v>
      </c>
      <c r="X2">
        <v>-0.2</v>
      </c>
      <c r="Y2">
        <v>-0.1</v>
      </c>
      <c r="Z2">
        <v>0</v>
      </c>
      <c r="AA2">
        <v>0.1</v>
      </c>
      <c r="AB2">
        <v>0.2</v>
      </c>
    </row>
    <row r="3" spans="1:28" x14ac:dyDescent="0.25">
      <c r="A3">
        <v>0</v>
      </c>
      <c r="B3">
        <v>-2.001462853513658E-4</v>
      </c>
      <c r="C3">
        <v>4.6730026951991022E-4</v>
      </c>
      <c r="D3">
        <v>0</v>
      </c>
      <c r="E3">
        <v>2.1754112822236493E-5</v>
      </c>
      <c r="G3">
        <v>0</v>
      </c>
      <c r="H3">
        <v>3.3730302006006241E-2</v>
      </c>
      <c r="I3">
        <v>102.71781921386719</v>
      </c>
      <c r="J3">
        <v>30.825462341308594</v>
      </c>
      <c r="K3">
        <v>1.6733920574188232</v>
      </c>
      <c r="S3">
        <f>S2-$S$2+0.05</f>
        <v>0.05</v>
      </c>
      <c r="T3">
        <f t="shared" ref="T3:AB3" si="0">T2-$S$2+0.05</f>
        <v>0.14999999999999997</v>
      </c>
      <c r="U3">
        <f t="shared" si="0"/>
        <v>0.24999999999999994</v>
      </c>
      <c r="V3">
        <f t="shared" si="0"/>
        <v>0.34999999999999992</v>
      </c>
      <c r="W3">
        <f t="shared" si="0"/>
        <v>0.44999999999999996</v>
      </c>
      <c r="X3">
        <f t="shared" si="0"/>
        <v>0.54999999999999993</v>
      </c>
      <c r="Y3">
        <f t="shared" si="0"/>
        <v>0.65</v>
      </c>
      <c r="Z3">
        <f t="shared" si="0"/>
        <v>0.75</v>
      </c>
      <c r="AA3">
        <f t="shared" si="0"/>
        <v>0.85</v>
      </c>
      <c r="AB3">
        <f t="shared" si="0"/>
        <v>0.95</v>
      </c>
    </row>
    <row r="4" spans="1:28" x14ac:dyDescent="0.25">
      <c r="A4">
        <v>0.24993808567523956</v>
      </c>
      <c r="B4">
        <v>-2.9534209170378745E-4</v>
      </c>
      <c r="C4">
        <v>6.8855122663080692E-4</v>
      </c>
      <c r="D4">
        <v>0</v>
      </c>
      <c r="E4">
        <v>3.5189423942938447E-4</v>
      </c>
      <c r="G4">
        <v>0.24993808567523956</v>
      </c>
      <c r="H4">
        <v>-6.6964298486709595E-2</v>
      </c>
      <c r="I4">
        <v>151.30125427246094</v>
      </c>
      <c r="J4">
        <v>45.370285034179688</v>
      </c>
      <c r="K4">
        <v>27.068782806396484</v>
      </c>
      <c r="S4">
        <v>113.40600000000001</v>
      </c>
      <c r="T4">
        <v>132.649</v>
      </c>
      <c r="U4">
        <v>151.892</v>
      </c>
      <c r="V4">
        <v>171.13499999999999</v>
      </c>
      <c r="W4">
        <v>190.37799999999999</v>
      </c>
      <c r="X4">
        <v>209.62200000000001</v>
      </c>
      <c r="Y4">
        <v>228.86500000000001</v>
      </c>
      <c r="Z4">
        <v>248.108</v>
      </c>
      <c r="AA4">
        <v>267.351</v>
      </c>
      <c r="AB4">
        <v>286.59399999999999</v>
      </c>
    </row>
    <row r="5" spans="1:28" x14ac:dyDescent="0.25">
      <c r="A5">
        <v>0.49985229969024658</v>
      </c>
      <c r="B5">
        <v>-3.9070111233741045E-4</v>
      </c>
      <c r="C5">
        <v>9.1024889843538404E-4</v>
      </c>
      <c r="D5">
        <v>0</v>
      </c>
      <c r="E5">
        <v>4.6104678767733276E-4</v>
      </c>
      <c r="G5">
        <v>0.49985229969024658</v>
      </c>
      <c r="H5">
        <v>-0.1600617915391922</v>
      </c>
      <c r="I5">
        <v>199.986083984375</v>
      </c>
      <c r="J5">
        <v>59.947807312011719</v>
      </c>
      <c r="K5">
        <v>35.465133666992188</v>
      </c>
      <c r="S5" s="2">
        <v>-2.22045E-14</v>
      </c>
      <c r="T5" s="2">
        <v>-2.22045E-14</v>
      </c>
      <c r="U5" s="2">
        <v>1.11022E-14</v>
      </c>
      <c r="V5" s="2">
        <v>2.22045E-14</v>
      </c>
      <c r="W5" s="2">
        <v>4.4408899999999999E-14</v>
      </c>
      <c r="X5" s="2">
        <v>6.66134E-14</v>
      </c>
      <c r="Y5" s="2">
        <v>6.66134E-14</v>
      </c>
      <c r="Z5" s="2">
        <v>8.8817799999999999E-14</v>
      </c>
      <c r="AA5" s="2">
        <v>1.3322699999999999E-13</v>
      </c>
      <c r="AB5" s="2">
        <v>1.3322699999999999E-13</v>
      </c>
    </row>
    <row r="6" spans="1:28" x14ac:dyDescent="0.25">
      <c r="A6">
        <v>0.50031822919845581</v>
      </c>
      <c r="B6">
        <v>-3.9087759796530008E-4</v>
      </c>
      <c r="C6">
        <v>9.1066199820488691E-4</v>
      </c>
      <c r="D6">
        <v>0</v>
      </c>
      <c r="E6">
        <v>4.6087059308774769E-4</v>
      </c>
      <c r="G6">
        <v>0.50031822919845581</v>
      </c>
      <c r="H6">
        <v>-0.15990568697452545</v>
      </c>
      <c r="I6">
        <v>200.07693481445313</v>
      </c>
      <c r="J6">
        <v>59.975112915039063</v>
      </c>
      <c r="K6">
        <v>35.451583862304688</v>
      </c>
      <c r="S6">
        <v>34.021799999999999</v>
      </c>
      <c r="T6">
        <v>39.794699999999999</v>
      </c>
      <c r="U6">
        <v>45.567700000000002</v>
      </c>
      <c r="V6">
        <v>51.340600000000002</v>
      </c>
      <c r="W6">
        <v>57.113500000000002</v>
      </c>
      <c r="X6">
        <v>62.886499999999998</v>
      </c>
      <c r="Y6">
        <v>68.659400000000005</v>
      </c>
      <c r="Z6">
        <v>74.432299999999998</v>
      </c>
      <c r="AA6">
        <v>80.205299999999994</v>
      </c>
      <c r="AB6">
        <v>85.978200000000001</v>
      </c>
    </row>
    <row r="7" spans="1:28" x14ac:dyDescent="0.25">
      <c r="A7">
        <v>0.74974292516708374</v>
      </c>
      <c r="B7">
        <v>-4.8518428229726851E-4</v>
      </c>
      <c r="C7">
        <v>1.1315071024000645E-3</v>
      </c>
      <c r="D7">
        <v>0</v>
      </c>
      <c r="E7">
        <v>3.5045624827034771E-4</v>
      </c>
      <c r="G7">
        <v>0.74974292516708374</v>
      </c>
      <c r="H7">
        <v>-6.8038001656532288E-2</v>
      </c>
      <c r="I7">
        <v>248.65371704101563</v>
      </c>
      <c r="J7">
        <v>74.575714111328125</v>
      </c>
      <c r="K7">
        <v>26.958169937133789</v>
      </c>
      <c r="S7">
        <v>16.164200000000001</v>
      </c>
      <c r="T7">
        <v>28.7364</v>
      </c>
      <c r="U7">
        <v>37.716500000000003</v>
      </c>
      <c r="V7">
        <v>43.104599999999998</v>
      </c>
      <c r="W7">
        <v>44.900599999999997</v>
      </c>
      <c r="X7">
        <v>44.900599999999997</v>
      </c>
      <c r="Y7">
        <v>43.104599999999998</v>
      </c>
      <c r="Z7">
        <v>37.716500000000003</v>
      </c>
      <c r="AA7">
        <v>28.7364</v>
      </c>
      <c r="AB7">
        <v>16.164200000000001</v>
      </c>
    </row>
    <row r="8" spans="1:28" x14ac:dyDescent="0.25">
      <c r="A8">
        <v>0.99960976839065552</v>
      </c>
      <c r="B8">
        <v>-5.7984702289104462E-4</v>
      </c>
      <c r="C8">
        <v>1.3532699085772038E-3</v>
      </c>
      <c r="D8">
        <v>0</v>
      </c>
      <c r="E8">
        <v>2.1786283468827605E-5</v>
      </c>
      <c r="G8">
        <v>0.99960976839065552</v>
      </c>
      <c r="H8">
        <v>3.3832348883152008E-2</v>
      </c>
      <c r="I8">
        <v>297.4364013671875</v>
      </c>
      <c r="J8">
        <v>89.241058349609375</v>
      </c>
      <c r="K8">
        <v>1.6758679151535034</v>
      </c>
    </row>
    <row r="12" spans="1:28" x14ac:dyDescent="0.25">
      <c r="B12" s="3" t="s">
        <v>8</v>
      </c>
      <c r="C12" s="3"/>
      <c r="D12" s="3"/>
      <c r="E12" s="3"/>
      <c r="F12" s="3"/>
      <c r="G12" s="3"/>
      <c r="H12" s="3"/>
      <c r="I12" s="3"/>
      <c r="J12" s="3"/>
      <c r="K12" s="3"/>
    </row>
    <row r="14" spans="1:28" x14ac:dyDescent="0.25">
      <c r="B14">
        <v>0.05</v>
      </c>
      <c r="C14">
        <v>0.14999999999999997</v>
      </c>
      <c r="D14">
        <v>0.24999999999999994</v>
      </c>
      <c r="E14">
        <v>0.34999999999999992</v>
      </c>
      <c r="F14">
        <v>0.44999999999999996</v>
      </c>
      <c r="G14">
        <v>0.54999999999999993</v>
      </c>
      <c r="H14">
        <v>0.65</v>
      </c>
      <c r="I14">
        <v>0.75</v>
      </c>
      <c r="J14">
        <v>0.85</v>
      </c>
      <c r="K14">
        <v>0.95</v>
      </c>
    </row>
    <row r="15" spans="1:28" x14ac:dyDescent="0.25">
      <c r="A15" t="s">
        <v>0</v>
      </c>
      <c r="B15">
        <v>5.1599700000000003E-4</v>
      </c>
      <c r="C15">
        <v>6.0355399999999996E-4</v>
      </c>
      <c r="D15">
        <v>6.9110999999999999E-4</v>
      </c>
      <c r="E15">
        <v>7.7866600000000002E-4</v>
      </c>
      <c r="F15">
        <v>8.6622200000000004E-4</v>
      </c>
      <c r="G15">
        <v>9.5377799999999996E-4</v>
      </c>
      <c r="H15">
        <v>1.04133E-3</v>
      </c>
      <c r="I15">
        <v>1.12889E-3</v>
      </c>
      <c r="J15">
        <v>1.21645E-3</v>
      </c>
      <c r="K15">
        <v>1.304E-3</v>
      </c>
    </row>
    <row r="16" spans="1:28" x14ac:dyDescent="0.25">
      <c r="A16" t="s">
        <v>2</v>
      </c>
      <c r="B16">
        <v>-2.2114199999999999E-4</v>
      </c>
      <c r="C16">
        <v>-2.5866600000000001E-4</v>
      </c>
      <c r="D16">
        <v>-2.9618999999999999E-4</v>
      </c>
      <c r="E16">
        <v>-3.3371399999999998E-4</v>
      </c>
      <c r="F16">
        <v>-3.7123800000000003E-4</v>
      </c>
      <c r="G16">
        <v>-4.0876200000000001E-4</v>
      </c>
      <c r="H16">
        <v>-4.46286E-4</v>
      </c>
      <c r="I16">
        <v>-4.8380999999999999E-4</v>
      </c>
      <c r="J16">
        <v>-5.2133400000000003E-4</v>
      </c>
      <c r="K16">
        <v>-5.5885799999999997E-4</v>
      </c>
    </row>
    <row r="17" spans="1:11" x14ac:dyDescent="0.25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</v>
      </c>
      <c r="B18">
        <v>2.1013499999999999E-4</v>
      </c>
      <c r="C18">
        <v>3.7357299999999998E-4</v>
      </c>
      <c r="D18">
        <v>4.9031400000000005E-4</v>
      </c>
      <c r="E18">
        <v>5.6035899999999997E-4</v>
      </c>
      <c r="F18">
        <v>5.8370799999999995E-4</v>
      </c>
      <c r="G18">
        <v>5.8370799999999995E-4</v>
      </c>
      <c r="H18">
        <v>5.6035899999999997E-4</v>
      </c>
      <c r="I18">
        <v>4.9031400000000005E-4</v>
      </c>
      <c r="J18">
        <v>3.7357299999999998E-4</v>
      </c>
      <c r="K18">
        <v>2.1013499999999999E-4</v>
      </c>
    </row>
  </sheetData>
  <mergeCells count="1">
    <mergeCell ref="B12:K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80EA-75A9-4325-BDBA-6E612AA185C8}">
  <dimension ref="A1:G17"/>
  <sheetViews>
    <sheetView workbookViewId="0">
      <selection activeCell="C4" sqref="C4"/>
    </sheetView>
  </sheetViews>
  <sheetFormatPr defaultRowHeight="15" x14ac:dyDescent="0.25"/>
  <sheetData>
    <row r="1" spans="1:7" x14ac:dyDescent="0.25">
      <c r="B1" s="1"/>
    </row>
    <row r="2" spans="1:7" x14ac:dyDescent="0.25">
      <c r="B2" s="1" t="s">
        <v>10</v>
      </c>
      <c r="C2">
        <v>1</v>
      </c>
    </row>
    <row r="3" spans="1:7" x14ac:dyDescent="0.25">
      <c r="B3" s="1" t="s">
        <v>11</v>
      </c>
      <c r="C3">
        <v>1</v>
      </c>
    </row>
    <row r="4" spans="1:7" x14ac:dyDescent="0.25">
      <c r="B4" s="1" t="s">
        <v>13</v>
      </c>
      <c r="C4">
        <v>0.3</v>
      </c>
    </row>
    <row r="6" spans="1:7" x14ac:dyDescent="0.25">
      <c r="B6" s="1" t="s">
        <v>12</v>
      </c>
      <c r="C6" s="1"/>
    </row>
    <row r="7" spans="1:7" x14ac:dyDescent="0.25">
      <c r="A7">
        <f>B7-$C$4</f>
        <v>-0.3</v>
      </c>
      <c r="B7">
        <v>0</v>
      </c>
      <c r="C7">
        <f>$C$2*(B7-$C$4)/2*($C$3-(B7-$C$4))</f>
        <v>-0.19500000000000001</v>
      </c>
      <c r="E7">
        <f>$C$3-B7</f>
        <v>1</v>
      </c>
      <c r="F7">
        <f>B7/2</f>
        <v>0</v>
      </c>
      <c r="G7">
        <f>E7*F7</f>
        <v>0</v>
      </c>
    </row>
    <row r="8" spans="1:7" x14ac:dyDescent="0.25">
      <c r="A8">
        <f t="shared" ref="A8:A17" si="0">B8-$C$4</f>
        <v>-0.19999999999999998</v>
      </c>
      <c r="B8">
        <v>0.1</v>
      </c>
      <c r="C8">
        <f t="shared" ref="C8:C17" si="1">$C$2*(B8-$C$4)/2*($C$3-(B8-$C$4))</f>
        <v>-0.11999999999999998</v>
      </c>
      <c r="E8">
        <f t="shared" ref="E8:E17" si="2">$C$3-B8</f>
        <v>0.9</v>
      </c>
      <c r="F8">
        <f t="shared" ref="F8:F17" si="3">B8/2</f>
        <v>0.05</v>
      </c>
      <c r="G8">
        <f t="shared" ref="G8:G17" si="4">E8*F8</f>
        <v>4.5000000000000005E-2</v>
      </c>
    </row>
    <row r="9" spans="1:7" x14ac:dyDescent="0.25">
      <c r="A9">
        <f t="shared" si="0"/>
        <v>-9.9999999999999978E-2</v>
      </c>
      <c r="B9">
        <v>0.2</v>
      </c>
      <c r="C9">
        <f t="shared" si="1"/>
        <v>-5.4999999999999993E-2</v>
      </c>
      <c r="E9">
        <f t="shared" si="2"/>
        <v>0.8</v>
      </c>
      <c r="F9">
        <f t="shared" si="3"/>
        <v>0.1</v>
      </c>
      <c r="G9">
        <f t="shared" si="4"/>
        <v>8.0000000000000016E-2</v>
      </c>
    </row>
    <row r="10" spans="1:7" x14ac:dyDescent="0.25">
      <c r="A10">
        <f t="shared" si="0"/>
        <v>0</v>
      </c>
      <c r="B10">
        <v>0.3</v>
      </c>
      <c r="C10">
        <f t="shared" si="1"/>
        <v>0</v>
      </c>
      <c r="E10">
        <f t="shared" si="2"/>
        <v>0.7</v>
      </c>
      <c r="F10">
        <f t="shared" si="3"/>
        <v>0.15</v>
      </c>
      <c r="G10">
        <f t="shared" si="4"/>
        <v>0.105</v>
      </c>
    </row>
    <row r="11" spans="1:7" x14ac:dyDescent="0.25">
      <c r="A11">
        <f t="shared" si="0"/>
        <v>0.10000000000000003</v>
      </c>
      <c r="B11">
        <v>0.4</v>
      </c>
      <c r="C11">
        <f t="shared" si="1"/>
        <v>4.5000000000000012E-2</v>
      </c>
      <c r="E11">
        <f t="shared" si="2"/>
        <v>0.6</v>
      </c>
      <c r="F11">
        <f t="shared" si="3"/>
        <v>0.2</v>
      </c>
      <c r="G11">
        <f t="shared" si="4"/>
        <v>0.12</v>
      </c>
    </row>
    <row r="12" spans="1:7" x14ac:dyDescent="0.25">
      <c r="A12">
        <f t="shared" si="0"/>
        <v>0.2</v>
      </c>
      <c r="B12">
        <v>0.5</v>
      </c>
      <c r="C12">
        <f t="shared" si="1"/>
        <v>8.0000000000000016E-2</v>
      </c>
      <c r="E12">
        <f t="shared" si="2"/>
        <v>0.5</v>
      </c>
      <c r="F12">
        <f t="shared" si="3"/>
        <v>0.25</v>
      </c>
      <c r="G12">
        <f t="shared" si="4"/>
        <v>0.125</v>
      </c>
    </row>
    <row r="13" spans="1:7" x14ac:dyDescent="0.25">
      <c r="A13">
        <f t="shared" si="0"/>
        <v>0.3</v>
      </c>
      <c r="B13">
        <v>0.6</v>
      </c>
      <c r="C13">
        <f t="shared" si="1"/>
        <v>0.105</v>
      </c>
      <c r="E13">
        <f t="shared" si="2"/>
        <v>0.4</v>
      </c>
      <c r="F13">
        <f t="shared" si="3"/>
        <v>0.3</v>
      </c>
      <c r="G13">
        <f t="shared" si="4"/>
        <v>0.12</v>
      </c>
    </row>
    <row r="14" spans="1:7" x14ac:dyDescent="0.25">
      <c r="A14">
        <f t="shared" si="0"/>
        <v>0.39999999999999997</v>
      </c>
      <c r="B14">
        <v>0.7</v>
      </c>
      <c r="C14">
        <f t="shared" si="1"/>
        <v>0.12000000000000001</v>
      </c>
      <c r="E14">
        <f t="shared" si="2"/>
        <v>0.30000000000000004</v>
      </c>
      <c r="F14">
        <f t="shared" si="3"/>
        <v>0.35</v>
      </c>
      <c r="G14">
        <f t="shared" si="4"/>
        <v>0.10500000000000001</v>
      </c>
    </row>
    <row r="15" spans="1:7" x14ac:dyDescent="0.25">
      <c r="A15">
        <f t="shared" si="0"/>
        <v>0.5</v>
      </c>
      <c r="B15">
        <v>0.8</v>
      </c>
      <c r="C15">
        <f t="shared" si="1"/>
        <v>0.125</v>
      </c>
      <c r="E15">
        <f t="shared" si="2"/>
        <v>0.19999999999999996</v>
      </c>
      <c r="F15">
        <f t="shared" si="3"/>
        <v>0.4</v>
      </c>
      <c r="G15">
        <f t="shared" si="4"/>
        <v>7.9999999999999988E-2</v>
      </c>
    </row>
    <row r="16" spans="1:7" x14ac:dyDescent="0.25">
      <c r="A16">
        <f t="shared" si="0"/>
        <v>0.60000000000000009</v>
      </c>
      <c r="B16">
        <v>0.9</v>
      </c>
      <c r="C16">
        <f t="shared" si="1"/>
        <v>0.12</v>
      </c>
      <c r="E16">
        <f t="shared" si="2"/>
        <v>9.9999999999999978E-2</v>
      </c>
      <c r="F16">
        <f t="shared" si="3"/>
        <v>0.45</v>
      </c>
      <c r="G16">
        <f t="shared" si="4"/>
        <v>4.4999999999999991E-2</v>
      </c>
    </row>
    <row r="17" spans="1:7" x14ac:dyDescent="0.25">
      <c r="A17">
        <f t="shared" si="0"/>
        <v>0.7</v>
      </c>
      <c r="B17">
        <v>1</v>
      </c>
      <c r="C17">
        <f t="shared" si="1"/>
        <v>0.10500000000000001</v>
      </c>
      <c r="E17">
        <f t="shared" si="2"/>
        <v>0</v>
      </c>
      <c r="F17">
        <f t="shared" si="3"/>
        <v>0.5</v>
      </c>
      <c r="G17">
        <f t="shared" si="4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xyToExcel</vt:lpstr>
      <vt:lpstr>Sheet1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Horton Ed</dc:creator>
  <cp:lastModifiedBy>Horton, Ed</cp:lastModifiedBy>
  <dcterms:created xsi:type="dcterms:W3CDTF">2025-08-07T12:20:12Z</dcterms:created>
  <dcterms:modified xsi:type="dcterms:W3CDTF">2025-08-19T15:35:14Z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2025-08-07T12:21:46Z</vt:lpwstr>
  </property>
  <property fmtid="{D5CDD505-2E9C-101B-9397-08002B2CF9AE}" pid="4" name="MSIP_Label_04443ded-827a-46bf-8c23-accc3d394867_Method">
    <vt:lpwstr>Privileged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21c5de39-84bc-45fb-b676-3154cbec1753</vt:lpwstr>
  </property>
  <property fmtid="{D5CDD505-2E9C-101B-9397-08002B2CF9AE}" pid="8" name="MSIP_Label_04443ded-827a-46bf-8c23-accc3d394867_ContentBits">
    <vt:lpwstr>0</vt:lpwstr>
  </property>
  <property fmtid="{D5CDD505-2E9C-101B-9397-08002B2CF9AE}" pid="9" name="MSIP_Label_04443ded-827a-46bf-8c23-accc3d394867_Tag">
    <vt:lpwstr>10, 0, 1, 1</vt:lpwstr>
  </property>
</Properties>
</file>